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y.jci.com/sites/BIMProjectData/Shared Documents/01. BIM Project Data/01. Digital Twin Projects/Digital Twin Project/01_Mayui Trial Project/Level3DViews_CLIENT_PACKAGE/"/>
    </mc:Choice>
  </mc:AlternateContent>
  <xr:revisionPtr revIDLastSave="1" documentId="11_123110AED330D3583920D5F0505ED87656CD17CF" xr6:coauthVersionLast="47" xr6:coauthVersionMax="47" xr10:uidLastSave="{472B4EFC-C904-4DAE-9109-F95C5608F585}"/>
  <bookViews>
    <workbookView minimized="1" xWindow="34605" yWindow="0" windowWidth="2211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D12" i="1"/>
  <c r="I11" i="1"/>
  <c r="H11" i="1"/>
  <c r="G11" i="1"/>
  <c r="F11" i="1"/>
  <c r="E11" i="1"/>
  <c r="D11" i="1"/>
  <c r="I10" i="1"/>
  <c r="H10" i="1"/>
  <c r="G10" i="1"/>
  <c r="F10" i="1"/>
  <c r="E10" i="1"/>
  <c r="D10" i="1"/>
  <c r="I9" i="1"/>
  <c r="H9" i="1"/>
  <c r="G9" i="1"/>
  <c r="F9" i="1"/>
  <c r="E9" i="1"/>
  <c r="D9" i="1"/>
  <c r="I8" i="1"/>
  <c r="H8" i="1"/>
  <c r="G8" i="1"/>
  <c r="F8" i="1"/>
  <c r="E8" i="1"/>
  <c r="D8" i="1"/>
  <c r="I7" i="1"/>
  <c r="H7" i="1"/>
  <c r="G7" i="1"/>
  <c r="F7" i="1"/>
  <c r="E7" i="1"/>
  <c r="D7" i="1"/>
  <c r="I6" i="1"/>
  <c r="H6" i="1"/>
  <c r="G6" i="1"/>
  <c r="F6" i="1"/>
  <c r="E6" i="1"/>
  <c r="D6" i="1"/>
  <c r="I5" i="1"/>
  <c r="H5" i="1"/>
  <c r="G5" i="1"/>
  <c r="F5" i="1"/>
  <c r="E5" i="1"/>
  <c r="D5" i="1"/>
  <c r="I4" i="1"/>
  <c r="H4" i="1"/>
  <c r="G4" i="1"/>
  <c r="F4" i="1"/>
  <c r="E4" i="1"/>
  <c r="D4" i="1"/>
  <c r="I3" i="1"/>
  <c r="H3" i="1"/>
  <c r="G3" i="1"/>
  <c r="F3" i="1"/>
  <c r="E3" i="1"/>
  <c r="D3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<sst xmlns="http://schemas.openxmlformats.org/spreadsheetml/2006/main" count="42" uniqueCount="23">
  <si>
    <t>View Name</t>
  </si>
  <si>
    <t>Room Name</t>
  </si>
  <si>
    <t>Asset ID</t>
  </si>
  <si>
    <t>Viewer</t>
  </si>
  <si>
    <t>Images</t>
  </si>
  <si>
    <t>Clean Video</t>
  </si>
  <si>
    <t>Meta Video</t>
  </si>
  <si>
    <t>Comp Video</t>
  </si>
  <si>
    <t>Meta Comp Video</t>
  </si>
  <si>
    <t>3D_Level 1_to_Level 2</t>
  </si>
  <si>
    <t>MJ 2_25</t>
  </si>
  <si>
    <t>DT_MJ_2-MJ 2_25</t>
  </si>
  <si>
    <t>DT_MJ_3-MJ 2_25</t>
  </si>
  <si>
    <t>DT_MJ_4-MJ 2_25</t>
  </si>
  <si>
    <t>DT_MJ_5-MJ 2_25</t>
  </si>
  <si>
    <t>DT_MJ_6-MJ 2_25</t>
  </si>
  <si>
    <t>DT_MJ_7-MJ 2_25</t>
  </si>
  <si>
    <t>DT_MJ_8-MJ 2_25</t>
  </si>
  <si>
    <t>MJ 7_21</t>
  </si>
  <si>
    <t>DT_MJ_31-MJ 7_21</t>
  </si>
  <si>
    <t>DT_MJ_32-MJ 7_21</t>
  </si>
  <si>
    <t>DT_MJ_33-MJ 7_21</t>
  </si>
  <si>
    <t>DT_MJ_34-MJ 7_21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</si>
</sst>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selection activeCell="D1" sqref="D1:D2"/>
    </sheetView>
  </sheetViews>
  <sheetFormatPr defaultRowHeight="15" x14ac:dyDescent="0.25"/>
  <cols>
    <col min="4" max="4" width="17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tr">
        <f>HYPERLINK("./3D_Level 1_to_Level 2/MJ 2_25/DT_MJ_2-MJ 2_25/viewer.html","Open Viewer")</f>
        <v>Open Viewer</v>
      </c>
      <c r="E2" t="str">
        <f>HYPERLINK("./3D_Level 1_to_Level 2/MJ 2_25/DT_MJ_2-MJ 2_25","Open Images")</f>
        <v>Open Images</v>
      </c>
      <c r="F2" t="str">
        <f>HYPERLINK("./3D_Level 1_to_Level 2/MJ 2_25/DT_MJ_2-MJ 2_25/DT_MJ_2-MJ 2_25.mp4","Clean Video")</f>
        <v>Clean Video</v>
      </c>
      <c r="G2" t="str">
        <f>HYPERLINK("./3D_Level 1_to_Level 2/MJ 2_25/DT_MJ_2-MJ 2_25/DT_MJ_2-MJ 2_25_M.mp4","Meta Video")</f>
        <v>Meta Video</v>
      </c>
      <c r="H2" t="str">
        <f>HYPERLINK("./3D_Level 1_to_Level 2/MJ 2_25/DT_MJ_2-MJ 2_25/DT_MJ_2-MJ 2_25_C.mp4","Comp Video")</f>
        <v>Comp Video</v>
      </c>
      <c r="I2" t="str">
        <f>HYPERLINK("./3D_Level 1_to_Level 2/MJ 2_25/DT_MJ_2-MJ 2_25/DT_MJ_2-MJ 2_25_CM.mp4","Meta Comp")</f>
        <v>Meta Comp</v>
      </c>
    </row>
    <row r="3" spans="1:9" x14ac:dyDescent="0.25">
      <c r="A3" t="s">
        <v>9</v>
      </c>
      <c r="B3" t="s">
        <v>10</v>
      </c>
      <c r="C3" t="s">
        <v>12</v>
      </c>
      <c r="D3" t="str">
        <f>HYPERLINK("./3D_Level 1_to_Level 2/MJ 2_25/DT_MJ_3-MJ 2_25/viewer.html","Open Viewer")</f>
        <v>Open Viewer</v>
      </c>
      <c r="E3" t="str">
        <f>HYPERLINK("./3D_Level 1_to_Level 2/MJ 2_25/DT_MJ_3-MJ 2_25","Open Images")</f>
        <v>Open Images</v>
      </c>
      <c r="F3" t="str">
        <f>HYPERLINK("./3D_Level 1_to_Level 2/MJ 2_25/DT_MJ_3-MJ 2_25/DT_MJ_3-MJ 2_25.mp4","Clean Video")</f>
        <v>Clean Video</v>
      </c>
      <c r="G3" t="str">
        <f>HYPERLINK("./3D_Level 1_to_Level 2/MJ 2_25/DT_MJ_3-MJ 2_25/DT_MJ_3-MJ 2_25_M.mp4","Meta Video")</f>
        <v>Meta Video</v>
      </c>
      <c r="H3" t="str">
        <f>HYPERLINK("./3D_Level 1_to_Level 2/MJ 2_25/DT_MJ_3-MJ 2_25/DT_MJ_3-MJ 2_25_C.mp4","Comp Video")</f>
        <v>Comp Video</v>
      </c>
      <c r="I3" t="str">
        <f>HYPERLINK("./3D_Level 1_to_Level 2/MJ 2_25/DT_MJ_3-MJ 2_25/DT_MJ_3-MJ 2_25_CM.mp4","Meta Comp")</f>
        <v>Meta Comp</v>
      </c>
    </row>
    <row r="4" spans="1:9" x14ac:dyDescent="0.25">
      <c r="A4" t="s">
        <v>9</v>
      </c>
      <c r="B4" t="s">
        <v>10</v>
      </c>
      <c r="C4" t="s">
        <v>13</v>
      </c>
      <c r="D4" t="str">
        <f>HYPERLINK("./3D_Level 1_to_Level 2/MJ 2_25/DT_MJ_4-MJ 2_25/viewer.html","Open Viewer")</f>
        <v>Open Viewer</v>
      </c>
      <c r="E4" t="str">
        <f>HYPERLINK("./3D_Level 1_to_Level 2/MJ 2_25/DT_MJ_4-MJ 2_25","Open Images")</f>
        <v>Open Images</v>
      </c>
      <c r="F4" t="str">
        <f>HYPERLINK("./3D_Level 1_to_Level 2/MJ 2_25/DT_MJ_4-MJ 2_25/DT_MJ_4-MJ 2_25.mp4","Clean Video")</f>
        <v>Clean Video</v>
      </c>
      <c r="G4" t="str">
        <f>HYPERLINK("./3D_Level 1_to_Level 2/MJ 2_25/DT_MJ_4-MJ 2_25/DT_MJ_4-MJ 2_25_M.mp4","Meta Video")</f>
        <v>Meta Video</v>
      </c>
      <c r="H4" t="str">
        <f>HYPERLINK("./3D_Level 1_to_Level 2/MJ 2_25/DT_MJ_4-MJ 2_25/DT_MJ_4-MJ 2_25_C.mp4","Comp Video")</f>
        <v>Comp Video</v>
      </c>
      <c r="I4" t="str">
        <f>HYPERLINK("./3D_Level 1_to_Level 2/MJ 2_25/DT_MJ_4-MJ 2_25/DT_MJ_4-MJ 2_25_CM.mp4","Meta Comp")</f>
        <v>Meta Comp</v>
      </c>
    </row>
    <row r="5" spans="1:9" x14ac:dyDescent="0.25">
      <c r="A5" t="s">
        <v>9</v>
      </c>
      <c r="B5" t="s">
        <v>10</v>
      </c>
      <c r="C5" t="s">
        <v>14</v>
      </c>
      <c r="D5" t="str">
        <f>HYPERLINK("./3D_Level 1_to_Level 2/MJ 2_25/DT_MJ_5-MJ 2_25/viewer.html","Open Viewer")</f>
        <v>Open Viewer</v>
      </c>
      <c r="E5" t="str">
        <f>HYPERLINK("./3D_Level 1_to_Level 2/MJ 2_25/DT_MJ_5-MJ 2_25","Open Images")</f>
        <v>Open Images</v>
      </c>
      <c r="F5" t="str">
        <f>HYPERLINK("./3D_Level 1_to_Level 2/MJ 2_25/DT_MJ_5-MJ 2_25/DT_MJ_5-MJ 2_25.mp4","Clean Video")</f>
        <v>Clean Video</v>
      </c>
      <c r="G5" t="str">
        <f>HYPERLINK("./3D_Level 1_to_Level 2/MJ 2_25/DT_MJ_5-MJ 2_25/DT_MJ_5-MJ 2_25_M.mp4","Meta Video")</f>
        <v>Meta Video</v>
      </c>
      <c r="H5" t="str">
        <f>HYPERLINK("./3D_Level 1_to_Level 2/MJ 2_25/DT_MJ_5-MJ 2_25/DT_MJ_5-MJ 2_25_C.mp4","Comp Video")</f>
        <v>Comp Video</v>
      </c>
      <c r="I5" t="str">
        <f>HYPERLINK("./3D_Level 1_to_Level 2/MJ 2_25/DT_MJ_5-MJ 2_25/DT_MJ_5-MJ 2_25_CM.mp4","Meta Comp")</f>
        <v>Meta Comp</v>
      </c>
    </row>
    <row r="6" spans="1:9" x14ac:dyDescent="0.25">
      <c r="A6" t="s">
        <v>9</v>
      </c>
      <c r="B6" t="s">
        <v>10</v>
      </c>
      <c r="C6" t="s">
        <v>15</v>
      </c>
      <c r="D6" t="str">
        <f>HYPERLINK("./3D_Level 1_to_Level 2/MJ 2_25/DT_MJ_6-MJ 2_25/viewer.html","Open Viewer")</f>
        <v>Open Viewer</v>
      </c>
      <c r="E6" t="str">
        <f>HYPERLINK("./3D_Level 1_to_Level 2/MJ 2_25/DT_MJ_6-MJ 2_25","Open Images")</f>
        <v>Open Images</v>
      </c>
      <c r="F6" t="str">
        <f>HYPERLINK("./3D_Level 1_to_Level 2/MJ 2_25/DT_MJ_6-MJ 2_25/DT_MJ_6-MJ 2_25.mp4","Clean Video")</f>
        <v>Clean Video</v>
      </c>
      <c r="G6" t="str">
        <f>HYPERLINK("./3D_Level 1_to_Level 2/MJ 2_25/DT_MJ_6-MJ 2_25/DT_MJ_6-MJ 2_25_M.mp4","Meta Video")</f>
        <v>Meta Video</v>
      </c>
      <c r="H6" t="str">
        <f>HYPERLINK("./3D_Level 1_to_Level 2/MJ 2_25/DT_MJ_6-MJ 2_25/DT_MJ_6-MJ 2_25_C.mp4","Comp Video")</f>
        <v>Comp Video</v>
      </c>
      <c r="I6" t="str">
        <f>HYPERLINK("./3D_Level 1_to_Level 2/MJ 2_25/DT_MJ_6-MJ 2_25/DT_MJ_6-MJ 2_25_CM.mp4","Meta Comp")</f>
        <v>Meta Comp</v>
      </c>
    </row>
    <row r="7" spans="1:9" x14ac:dyDescent="0.25">
      <c r="A7" t="s">
        <v>9</v>
      </c>
      <c r="B7" t="s">
        <v>10</v>
      </c>
      <c r="C7" t="s">
        <v>16</v>
      </c>
      <c r="D7" t="str">
        <f>HYPERLINK("./3D_Level 1_to_Level 2/MJ 2_25/DT_MJ_7-MJ 2_25/viewer.html","Open Viewer")</f>
        <v>Open Viewer</v>
      </c>
      <c r="E7" t="str">
        <f>HYPERLINK("./3D_Level 1_to_Level 2/MJ 2_25/DT_MJ_7-MJ 2_25","Open Images")</f>
        <v>Open Images</v>
      </c>
      <c r="F7" t="str">
        <f>HYPERLINK("./3D_Level 1_to_Level 2/MJ 2_25/DT_MJ_7-MJ 2_25/DT_MJ_7-MJ 2_25.mp4","Clean Video")</f>
        <v>Clean Video</v>
      </c>
      <c r="G7" t="str">
        <f>HYPERLINK("./3D_Level 1_to_Level 2/MJ 2_25/DT_MJ_7-MJ 2_25/DT_MJ_7-MJ 2_25_M.mp4","Meta Video")</f>
        <v>Meta Video</v>
      </c>
      <c r="H7" t="str">
        <f>HYPERLINK("./3D_Level 1_to_Level 2/MJ 2_25/DT_MJ_7-MJ 2_25/DT_MJ_7-MJ 2_25_C.mp4","Comp Video")</f>
        <v>Comp Video</v>
      </c>
      <c r="I7" t="str">
        <f>HYPERLINK("./3D_Level 1_to_Level 2/MJ 2_25/DT_MJ_7-MJ 2_25/DT_MJ_7-MJ 2_25_CM.mp4","Meta Comp")</f>
        <v>Meta Comp</v>
      </c>
    </row>
    <row r="8" spans="1:9" x14ac:dyDescent="0.25">
      <c r="A8" t="s">
        <v>9</v>
      </c>
      <c r="B8" t="s">
        <v>10</v>
      </c>
      <c r="C8" t="s">
        <v>17</v>
      </c>
      <c r="D8" t="str">
        <f>HYPERLINK("./3D_Level 1_to_Level 2/MJ 2_25/DT_MJ_8-MJ 2_25/viewer.html","Open Viewer")</f>
        <v>Open Viewer</v>
      </c>
      <c r="E8" t="str">
        <f>HYPERLINK("./3D_Level 1_to_Level 2/MJ 2_25/DT_MJ_8-MJ 2_25","Open Images")</f>
        <v>Open Images</v>
      </c>
      <c r="F8" t="str">
        <f>HYPERLINK("./3D_Level 1_to_Level 2/MJ 2_25/DT_MJ_8-MJ 2_25/DT_MJ_8-MJ 2_25.mp4","Clean Video")</f>
        <v>Clean Video</v>
      </c>
      <c r="G8" t="str">
        <f>HYPERLINK("./3D_Level 1_to_Level 2/MJ 2_25/DT_MJ_8-MJ 2_25/DT_MJ_8-MJ 2_25_M.mp4","Meta Video")</f>
        <v>Meta Video</v>
      </c>
      <c r="H8" t="str">
        <f>HYPERLINK("./3D_Level 1_to_Level 2/MJ 2_25/DT_MJ_8-MJ 2_25/DT_MJ_8-MJ 2_25_C.mp4","Comp Video")</f>
        <v>Comp Video</v>
      </c>
      <c r="I8" t="str">
        <f>HYPERLINK("./3D_Level 1_to_Level 2/MJ 2_25/DT_MJ_8-MJ 2_25/DT_MJ_8-MJ 2_25_CM.mp4","Meta Comp")</f>
        <v>Meta Comp</v>
      </c>
    </row>
    <row r="9" spans="1:9" x14ac:dyDescent="0.25">
      <c r="A9" t="s">
        <v>9</v>
      </c>
      <c r="B9" t="s">
        <v>18</v>
      </c>
      <c r="C9" t="s">
        <v>19</v>
      </c>
      <c r="D9" t="str">
        <f>HYPERLINK("./3D_Level 1_to_Level 2/MJ 7_21/DT_MJ_31-MJ 7_21/viewer.html","Open Viewer")</f>
        <v>Open Viewer</v>
      </c>
      <c r="E9" t="str">
        <f>HYPERLINK("./3D_Level 1_to_Level 2/MJ 7_21/DT_MJ_31-MJ 7_21","Open Images")</f>
        <v>Open Images</v>
      </c>
      <c r="F9" t="str">
        <f>HYPERLINK("./3D_Level 1_to_Level 2/MJ 7_21/DT_MJ_31-MJ 7_21/DT_MJ_31-MJ 7_21.mp4","Clean Video")</f>
        <v>Clean Video</v>
      </c>
      <c r="G9" t="str">
        <f>HYPERLINK("./3D_Level 1_to_Level 2/MJ 7_21/DT_MJ_31-MJ 7_21/DT_MJ_31-MJ 7_21_M.mp4","Meta Video")</f>
        <v>Meta Video</v>
      </c>
      <c r="H9" t="str">
        <f>HYPERLINK("./3D_Level 1_to_Level 2/MJ 7_21/DT_MJ_31-MJ 7_21/DT_MJ_31-MJ 7_21_C.mp4","Comp Video")</f>
        <v>Comp Video</v>
      </c>
      <c r="I9" t="str">
        <f>HYPERLINK("./3D_Level 1_to_Level 2/MJ 7_21/DT_MJ_31-MJ 7_21/DT_MJ_31-MJ 7_21_CM.mp4","Meta Comp")</f>
        <v>Meta Comp</v>
      </c>
    </row>
    <row r="10" spans="1:9" x14ac:dyDescent="0.25">
      <c r="A10" t="s">
        <v>9</v>
      </c>
      <c r="B10" t="s">
        <v>18</v>
      </c>
      <c r="C10" t="s">
        <v>20</v>
      </c>
      <c r="D10" t="str">
        <f>HYPERLINK("./3D_Level 1_to_Level 2/MJ 7_21/DT_MJ_32-MJ 7_21/viewer.html","Open Viewer")</f>
        <v>Open Viewer</v>
      </c>
      <c r="E10" t="str">
        <f>HYPERLINK("./3D_Level 1_to_Level 2/MJ 7_21/DT_MJ_32-MJ 7_21","Open Images")</f>
        <v>Open Images</v>
      </c>
      <c r="F10" t="str">
        <f>HYPERLINK("./3D_Level 1_to_Level 2/MJ 7_21/DT_MJ_32-MJ 7_21/DT_MJ_32-MJ 7_21.mp4","Clean Video")</f>
        <v>Clean Video</v>
      </c>
      <c r="G10" t="str">
        <f>HYPERLINK("./3D_Level 1_to_Level 2/MJ 7_21/DT_MJ_32-MJ 7_21/DT_MJ_32-MJ 7_21_M.mp4","Meta Video")</f>
        <v>Meta Video</v>
      </c>
      <c r="H10" t="str">
        <f>HYPERLINK("./3D_Level 1_to_Level 2/MJ 7_21/DT_MJ_32-MJ 7_21/DT_MJ_32-MJ 7_21_C.mp4","Comp Video")</f>
        <v>Comp Video</v>
      </c>
      <c r="I10" t="str">
        <f>HYPERLINK("./3D_Level 1_to_Level 2/MJ 7_21/DT_MJ_32-MJ 7_21/DT_MJ_32-MJ 7_21_CM.mp4","Meta Comp")</f>
        <v>Meta Comp</v>
      </c>
    </row>
    <row r="11" spans="1:9" x14ac:dyDescent="0.25">
      <c r="A11" t="s">
        <v>9</v>
      </c>
      <c r="B11" t="s">
        <v>18</v>
      </c>
      <c r="C11" t="s">
        <v>21</v>
      </c>
      <c r="D11" t="str">
        <f>HYPERLINK("./3D_Level 1_to_Level 2/MJ 7_21/DT_MJ_33-MJ 7_21/viewer.html","Open Viewer")</f>
        <v>Open Viewer</v>
      </c>
      <c r="E11" t="str">
        <f>HYPERLINK("./3D_Level 1_to_Level 2/MJ 7_21/DT_MJ_33-MJ 7_21","Open Images")</f>
        <v>Open Images</v>
      </c>
      <c r="F11" t="str">
        <f>HYPERLINK("./3D_Level 1_to_Level 2/MJ 7_21/DT_MJ_33-MJ 7_21/DT_MJ_33-MJ 7_21.mp4","Clean Video")</f>
        <v>Clean Video</v>
      </c>
      <c r="G11" t="str">
        <f>HYPERLINK("./3D_Level 1_to_Level 2/MJ 7_21/DT_MJ_33-MJ 7_21/DT_MJ_33-MJ 7_21_M.mp4","Meta Video")</f>
        <v>Meta Video</v>
      </c>
      <c r="H11" t="str">
        <f>HYPERLINK("./3D_Level 1_to_Level 2/MJ 7_21/DT_MJ_33-MJ 7_21/DT_MJ_33-MJ 7_21_C.mp4","Comp Video")</f>
        <v>Comp Video</v>
      </c>
      <c r="I11" t="str">
        <f>HYPERLINK("./3D_Level 1_to_Level 2/MJ 7_21/DT_MJ_33-MJ 7_21/DT_MJ_33-MJ 7_21_CM.mp4","Meta Comp")</f>
        <v>Meta Comp</v>
      </c>
    </row>
    <row r="12" spans="1:9" x14ac:dyDescent="0.25">
      <c r="A12" t="s">
        <v>9</v>
      </c>
      <c r="B12" t="s">
        <v>18</v>
      </c>
      <c r="C12" t="s">
        <v>22</v>
      </c>
      <c r="D12" t="str">
        <f>HYPERLINK("./3D_Level 1_to_Level 2/MJ 7_21/DT_MJ_34-MJ 7_21/viewer.html","Open Viewer")</f>
        <v>Open Viewer</v>
      </c>
      <c r="E12" t="str">
        <f>HYPERLINK("./3D_Level 1_to_Level 2/MJ 7_21/DT_MJ_34-MJ 7_21","Open Images")</f>
        <v>Open Images</v>
      </c>
      <c r="F12" t="str">
        <f>HYPERLINK("./3D_Level 1_to_Level 2/MJ 7_21/DT_MJ_34-MJ 7_21/DT_MJ_34-MJ 7_21.mp4","Clean Video")</f>
        <v>Clean Video</v>
      </c>
      <c r="G12" t="str">
        <f>HYPERLINK("./3D_Level 1_to_Level 2/MJ 7_21/DT_MJ_34-MJ 7_21/DT_MJ_34-MJ 7_21_M.mp4","Meta Video")</f>
        <v>Meta Video</v>
      </c>
      <c r="H12" t="str">
        <f>HYPERLINK("./3D_Level 1_to_Level 2/MJ 7_21/DT_MJ_34-MJ 7_21/DT_MJ_34-MJ 7_21_C.mp4","Comp Video")</f>
        <v>Comp Video</v>
      </c>
      <c r="I12" t="str">
        <f>HYPERLINK("./3D_Level 1_to_Level 2/MJ 7_21/DT_MJ_34-MJ 7_21/DT_MJ_34-MJ 7_21_CM.mp4","Meta Comp")</f>
        <v>Meta Comp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C403995C123248B06F82225AEB3A59" ma:contentTypeVersion="17" ma:contentTypeDescription="Create a new document." ma:contentTypeScope="" ma:versionID="69656b2c18d8e55c2b14d39a6d5aa9d3">
  <xsd:schema xmlns:xsd="http://www.w3.org/2001/XMLSchema" xmlns:xs="http://www.w3.org/2001/XMLSchema" xmlns:p="http://schemas.microsoft.com/office/2006/metadata/properties" xmlns:ns2="299b3cfa-fb26-4c5d-960e-988bf4540ad2" xmlns:ns3="db6d8cc1-4f24-4dff-ac2a-ca3fdcf18f71" targetNamespace="http://schemas.microsoft.com/office/2006/metadata/properties" ma:root="true" ma:fieldsID="716ce87849d126ea9baa065c19036576" ns2:_="" ns3:_="">
    <xsd:import namespace="299b3cfa-fb26-4c5d-960e-988bf4540ad2"/>
    <xsd:import namespace="db6d8cc1-4f24-4dff-ac2a-ca3fdcf18f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Remark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9b3cfa-fb26-4c5d-960e-988bf4540a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2a00314-ae30-474d-911b-f8e025e1af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Remarks" ma:index="23" nillable="true" ma:displayName="Remarks" ma:format="Dropdown" ma:internalName="Remarks">
      <xsd:simpleType>
        <xsd:restriction base="dms:Text">
          <xsd:maxLength value="255"/>
        </xsd:restriction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6d8cc1-4f24-4dff-ac2a-ca3fdcf18f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b69f1b9-cf2d-4f61-ad72-e4236a7d093e}" ma:internalName="TaxCatchAll" ma:showField="CatchAllData" ma:web="db6d8cc1-4f24-4dff-ac2a-ca3fdcf18f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marks xmlns="299b3cfa-fb26-4c5d-960e-988bf4540ad2" xsi:nil="true"/>
    <lcf76f155ced4ddcb4097134ff3c332f xmlns="299b3cfa-fb26-4c5d-960e-988bf4540ad2">
      <Terms xmlns="http://schemas.microsoft.com/office/infopath/2007/PartnerControls"/>
    </lcf76f155ced4ddcb4097134ff3c332f>
    <TaxCatchAll xmlns="db6d8cc1-4f24-4dff-ac2a-ca3fdcf18f71" xsi:nil="true"/>
  </documentManagement>
</p:properties>
</file>

<file path=customXml/itemProps1.xml><?xml version="1.0" encoding="utf-8"?>
<ds:datastoreItem xmlns:ds="http://schemas.openxmlformats.org/officeDocument/2006/customXml" ds:itemID="{A0895A4C-6203-479A-9054-7E8DBBA1C1A7}"/>
</file>

<file path=customXml/itemProps2.xml><?xml version="1.0" encoding="utf-8"?>
<ds:datastoreItem xmlns:ds="http://schemas.openxmlformats.org/officeDocument/2006/customXml" ds:itemID="{E9A70BB7-CABD-455F-9E49-65BA8D6B6F1A}"/>
</file>

<file path=customXml/itemProps3.xml><?xml version="1.0" encoding="utf-8"?>
<ds:datastoreItem xmlns:ds="http://schemas.openxmlformats.org/officeDocument/2006/customXml" ds:itemID="{7464BA13-965C-4789-9908-F409CAD7F1C3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Mayuri Jakhete</cp:lastModifiedBy>
  <dcterms:created xsi:type="dcterms:W3CDTF">2026-05-20T12:28:25Z</dcterms:created>
  <dcterms:modified xsi:type="dcterms:W3CDTF">2026-05-20T12:30:04Z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0x0101003AC403995C123248B06F82225AEB3A59</vt:lpwstr>
  </property>
</Properties>
</file>