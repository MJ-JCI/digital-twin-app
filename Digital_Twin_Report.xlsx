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jakhema\Downloads\Level3DViews_CLIENT_PACKAGE\"/>
    </mc:Choice>
  </mc:AlternateContent>
  <xr:revisionPtr revIDLastSave="0" documentId="13_ncr:1_{8DF0FAEB-23FF-4D3E-8257-7AEF6B2B194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I3" i="1"/>
  <c r="H3" i="1"/>
  <c r="G3" i="1"/>
  <c r="F3" i="1"/>
  <c r="E3" i="1"/>
  <c r="D3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<sst xmlns="http://schemas.openxmlformats.org/spreadsheetml/2006/main" count="42" uniqueCount="23">
  <si>
    <t>View Name</t>
  </si>
  <si>
    <t>Room Name</t>
  </si>
  <si>
    <t>Asset ID</t>
  </si>
  <si>
    <t>Viewer</t>
  </si>
  <si>
    <t>Images</t>
  </si>
  <si>
    <t>Clean Video</t>
  </si>
  <si>
    <t>Meta Video</t>
  </si>
  <si>
    <t>Comp Video</t>
  </si>
  <si>
    <t>Meta Comp Video</t>
  </si>
  <si>
    <t>3D_Level 1_to_Level 2</t>
  </si>
  <si>
    <t>MJ 2_25</t>
  </si>
  <si>
    <t>DT_MJ_2-MJ 2_25</t>
  </si>
  <si>
    <t>DT_MJ_3-MJ 2_25</t>
  </si>
  <si>
    <t>DT_MJ_4-MJ 2_25</t>
  </si>
  <si>
    <t>DT_MJ_5-MJ 2_25</t>
  </si>
  <si>
    <t>DT_MJ_6-MJ 2_25</t>
  </si>
  <si>
    <t>DT_MJ_7-MJ 2_25</t>
  </si>
  <si>
    <t>DT_MJ_8-MJ 2_25</t>
  </si>
  <si>
    <t>MJ 7_21</t>
  </si>
  <si>
    <t>DT_MJ_31-MJ 7_21</t>
  </si>
  <si>
    <t>DT_MJ_32-MJ 7_21</t>
  </si>
  <si>
    <t>DT_MJ_33-MJ 7_21</t>
  </si>
  <si>
    <t>DT_MJ_34-MJ 7_21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</si>
</sst>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P14" sqref="P14"/>
    </sheetView>
  </sheetViews>
  <sheetFormatPr defaultRowHeight="15" x14ac:dyDescent="0.25"/>
  <cols>
    <col min="1" max="1" width="20.7109375" bestFit="1" customWidth="1"/>
    <col min="2" max="2" width="11.85546875" bestFit="1" customWidth="1"/>
    <col min="3" max="3" width="17.5703125" bestFit="1" customWidth="1"/>
    <col min="4" max="4" width="20.7109375" customWidth="1"/>
    <col min="5" max="5" width="12.5703125" bestFit="1" customWidth="1"/>
    <col min="6" max="6" width="11.7109375" bestFit="1" customWidth="1"/>
    <col min="7" max="7" width="11.42578125" bestFit="1" customWidth="1"/>
    <col min="8" max="8" width="11.85546875" bestFit="1" customWidth="1"/>
    <col min="9" max="9" width="1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s="2" t="s">
        <v>9</v>
      </c>
      <c r="B2" s="2" t="s">
        <v>10</v>
      </c>
      <c r="C2" s="2" t="s">
        <v>11</v>
      </c>
      <c r="D2" s="3" t="str">
        <f>HYPERLINK("./3D_Level 1_to_Level 2/MJ 2_25/DT_MJ_2-MJ 2_25/viewer.html","Open Viewer")</f>
        <v>Open Viewer</v>
      </c>
      <c r="E2" s="3" t="str">
        <f>HYPERLINK("./3D_Level 1_to_Level 2/MJ 2_25/DT_MJ_2-MJ 2_25","Open Images")</f>
        <v>Open Images</v>
      </c>
      <c r="F2" s="3" t="str">
        <f>HYPERLINK("./3D_Level 1_to_Level 2/MJ 2_25/DT_MJ_2-MJ 2_25/DT_MJ_2-MJ 2_25.mp4","Clean Video")</f>
        <v>Clean Video</v>
      </c>
      <c r="G2" s="3" t="str">
        <f>HYPERLINK("./3D_Level 1_to_Level 2/MJ 2_25/DT_MJ_2-MJ 2_25/DT_MJ_2-MJ 2_25_M.mp4","Meta Video")</f>
        <v>Meta Video</v>
      </c>
      <c r="H2" s="3" t="str">
        <f>HYPERLINK("./3D_Level 1_to_Level 2/MJ 2_25/DT_MJ_2-MJ 2_25/DT_MJ_2-MJ 2_25_C.mp4","Comp Video")</f>
        <v>Comp Video</v>
      </c>
      <c r="I2" s="3" t="str">
        <f>HYPERLINK("./3D_Level 1_to_Level 2/MJ 2_25/DT_MJ_2-MJ 2_25/DT_MJ_2-MJ 2_25_CM.mp4","Meta Comp")</f>
        <v>Meta Comp</v>
      </c>
      <c r="J2" s="2"/>
    </row>
    <row r="3" spans="1:10" x14ac:dyDescent="0.25">
      <c r="A3" s="2" t="s">
        <v>9</v>
      </c>
      <c r="B3" s="2" t="s">
        <v>10</v>
      </c>
      <c r="C3" s="2" t="s">
        <v>12</v>
      </c>
      <c r="D3" s="3" t="str">
        <f>HYPERLINK("./3D_Level 1_to_Level 2/MJ 2_25/DT_MJ_3-MJ 2_25/viewer.html","Open Viewer")</f>
        <v>Open Viewer</v>
      </c>
      <c r="E3" s="3" t="str">
        <f>HYPERLINK("./3D_Level 1_to_Level 2/MJ 2_25/DT_MJ_3-MJ 2_25","Open Images")</f>
        <v>Open Images</v>
      </c>
      <c r="F3" s="3" t="str">
        <f>HYPERLINK("./3D_Level 1_to_Level 2/MJ 2_25/DT_MJ_3-MJ 2_25/DT_MJ_3-MJ 2_25.mp4","Clean Video")</f>
        <v>Clean Video</v>
      </c>
      <c r="G3" s="3" t="str">
        <f>HYPERLINK("./3D_Level 1_to_Level 2/MJ 2_25/DT_MJ_3-MJ 2_25/DT_MJ_3-MJ 2_25_M.mp4","Meta Video")</f>
        <v>Meta Video</v>
      </c>
      <c r="H3" s="3" t="str">
        <f>HYPERLINK("./3D_Level 1_to_Level 2/MJ 2_25/DT_MJ_3-MJ 2_25/DT_MJ_3-MJ 2_25_C.mp4","Comp Video")</f>
        <v>Comp Video</v>
      </c>
      <c r="I3" s="3" t="str">
        <f>HYPERLINK("./3D_Level 1_to_Level 2/MJ 2_25/DT_MJ_3-MJ 2_25/DT_MJ_3-MJ 2_25_CM.mp4","Meta Comp")</f>
        <v>Meta Comp</v>
      </c>
      <c r="J3" s="2"/>
    </row>
    <row r="4" spans="1:10" x14ac:dyDescent="0.25">
      <c r="A4" s="2" t="s">
        <v>9</v>
      </c>
      <c r="B4" s="2" t="s">
        <v>10</v>
      </c>
      <c r="C4" s="2" t="s">
        <v>13</v>
      </c>
      <c r="D4" s="3" t="str">
        <f>HYPERLINK("./3D_Level 1_to_Level 2/MJ 2_25/DT_MJ_4-MJ 2_25/viewer.html","Open Viewer")</f>
        <v>Open Viewer</v>
      </c>
      <c r="E4" s="3" t="str">
        <f>HYPERLINK("./3D_Level 1_to_Level 2/MJ 2_25/DT_MJ_4-MJ 2_25","Open Images")</f>
        <v>Open Images</v>
      </c>
      <c r="F4" s="3" t="str">
        <f>HYPERLINK("./3D_Level 1_to_Level 2/MJ 2_25/DT_MJ_4-MJ 2_25/DT_MJ_4-MJ 2_25.mp4","Clean Video")</f>
        <v>Clean Video</v>
      </c>
      <c r="G4" s="3" t="str">
        <f>HYPERLINK("./3D_Level 1_to_Level 2/MJ 2_25/DT_MJ_4-MJ 2_25/DT_MJ_4-MJ 2_25_M.mp4","Meta Video")</f>
        <v>Meta Video</v>
      </c>
      <c r="H4" s="3" t="str">
        <f>HYPERLINK("./3D_Level 1_to_Level 2/MJ 2_25/DT_MJ_4-MJ 2_25/DT_MJ_4-MJ 2_25_C.mp4","Comp Video")</f>
        <v>Comp Video</v>
      </c>
      <c r="I4" s="3" t="str">
        <f>HYPERLINK("./3D_Level 1_to_Level 2/MJ 2_25/DT_MJ_4-MJ 2_25/DT_MJ_4-MJ 2_25_CM.mp4","Meta Comp")</f>
        <v>Meta Comp</v>
      </c>
      <c r="J4" s="2"/>
    </row>
    <row r="5" spans="1:10" x14ac:dyDescent="0.25">
      <c r="A5" s="2" t="s">
        <v>9</v>
      </c>
      <c r="B5" s="2" t="s">
        <v>10</v>
      </c>
      <c r="C5" s="2" t="s">
        <v>14</v>
      </c>
      <c r="D5" s="3" t="str">
        <f>HYPERLINK("./3D_Level 1_to_Level 2/MJ 2_25/DT_MJ_5-MJ 2_25/viewer.html","Open Viewer")</f>
        <v>Open Viewer</v>
      </c>
      <c r="E5" s="3" t="str">
        <f>HYPERLINK("./3D_Level 1_to_Level 2/MJ 2_25/DT_MJ_5-MJ 2_25","Open Images")</f>
        <v>Open Images</v>
      </c>
      <c r="F5" s="3" t="str">
        <f>HYPERLINK("./3D_Level 1_to_Level 2/MJ 2_25/DT_MJ_5-MJ 2_25/DT_MJ_5-MJ 2_25.mp4","Clean Video")</f>
        <v>Clean Video</v>
      </c>
      <c r="G5" s="3" t="str">
        <f>HYPERLINK("./3D_Level 1_to_Level 2/MJ 2_25/DT_MJ_5-MJ 2_25/DT_MJ_5-MJ 2_25_M.mp4","Meta Video")</f>
        <v>Meta Video</v>
      </c>
      <c r="H5" s="3" t="str">
        <f>HYPERLINK("./3D_Level 1_to_Level 2/MJ 2_25/DT_MJ_5-MJ 2_25/DT_MJ_5-MJ 2_25_C.mp4","Comp Video")</f>
        <v>Comp Video</v>
      </c>
      <c r="I5" s="3" t="str">
        <f>HYPERLINK("./3D_Level 1_to_Level 2/MJ 2_25/DT_MJ_5-MJ 2_25/DT_MJ_5-MJ 2_25_CM.mp4","Meta Comp")</f>
        <v>Meta Comp</v>
      </c>
      <c r="J5" s="2"/>
    </row>
    <row r="6" spans="1:10" x14ac:dyDescent="0.25">
      <c r="A6" s="2" t="s">
        <v>9</v>
      </c>
      <c r="B6" s="2" t="s">
        <v>10</v>
      </c>
      <c r="C6" s="2" t="s">
        <v>15</v>
      </c>
      <c r="D6" s="3" t="str">
        <f>HYPERLINK("./3D_Level 1_to_Level 2/MJ 2_25/DT_MJ_6-MJ 2_25/viewer.html","Open Viewer")</f>
        <v>Open Viewer</v>
      </c>
      <c r="E6" s="3" t="str">
        <f>HYPERLINK("./3D_Level 1_to_Level 2/MJ 2_25/DT_MJ_6-MJ 2_25","Open Images")</f>
        <v>Open Images</v>
      </c>
      <c r="F6" s="3" t="str">
        <f>HYPERLINK("./3D_Level 1_to_Level 2/MJ 2_25/DT_MJ_6-MJ 2_25/DT_MJ_6-MJ 2_25.mp4","Clean Video")</f>
        <v>Clean Video</v>
      </c>
      <c r="G6" s="3" t="str">
        <f>HYPERLINK("./3D_Level 1_to_Level 2/MJ 2_25/DT_MJ_6-MJ 2_25/DT_MJ_6-MJ 2_25_M.mp4","Meta Video")</f>
        <v>Meta Video</v>
      </c>
      <c r="H6" s="3" t="str">
        <f>HYPERLINK("./3D_Level 1_to_Level 2/MJ 2_25/DT_MJ_6-MJ 2_25/DT_MJ_6-MJ 2_25_C.mp4","Comp Video")</f>
        <v>Comp Video</v>
      </c>
      <c r="I6" s="3" t="str">
        <f>HYPERLINK("./3D_Level 1_to_Level 2/MJ 2_25/DT_MJ_6-MJ 2_25/DT_MJ_6-MJ 2_25_CM.mp4","Meta Comp")</f>
        <v>Meta Comp</v>
      </c>
      <c r="J6" s="2"/>
    </row>
    <row r="7" spans="1:10" x14ac:dyDescent="0.25">
      <c r="A7" s="2" t="s">
        <v>9</v>
      </c>
      <c r="B7" s="2" t="s">
        <v>10</v>
      </c>
      <c r="C7" s="2" t="s">
        <v>16</v>
      </c>
      <c r="D7" s="3" t="str">
        <f>HYPERLINK("./3D_Level 1_to_Level 2/MJ 2_25/DT_MJ_7-MJ 2_25/viewer.html","Open Viewer")</f>
        <v>Open Viewer</v>
      </c>
      <c r="E7" s="3" t="str">
        <f>HYPERLINK("./3D_Level 1_to_Level 2/MJ 2_25/DT_MJ_7-MJ 2_25","Open Images")</f>
        <v>Open Images</v>
      </c>
      <c r="F7" s="3" t="str">
        <f>HYPERLINK("./3D_Level 1_to_Level 2/MJ 2_25/DT_MJ_7-MJ 2_25/DT_MJ_7-MJ 2_25.mp4","Clean Video")</f>
        <v>Clean Video</v>
      </c>
      <c r="G7" s="3" t="str">
        <f>HYPERLINK("./3D_Level 1_to_Level 2/MJ 2_25/DT_MJ_7-MJ 2_25/DT_MJ_7-MJ 2_25_M.mp4","Meta Video")</f>
        <v>Meta Video</v>
      </c>
      <c r="H7" s="3" t="str">
        <f>HYPERLINK("./3D_Level 1_to_Level 2/MJ 2_25/DT_MJ_7-MJ 2_25/DT_MJ_7-MJ 2_25_C.mp4","Comp Video")</f>
        <v>Comp Video</v>
      </c>
      <c r="I7" s="3" t="str">
        <f>HYPERLINK("./3D_Level 1_to_Level 2/MJ 2_25/DT_MJ_7-MJ 2_25/DT_MJ_7-MJ 2_25_CM.mp4","Meta Comp")</f>
        <v>Meta Comp</v>
      </c>
      <c r="J7" s="2"/>
    </row>
    <row r="8" spans="1:10" x14ac:dyDescent="0.25">
      <c r="A8" s="2" t="s">
        <v>9</v>
      </c>
      <c r="B8" s="2" t="s">
        <v>10</v>
      </c>
      <c r="C8" s="2" t="s">
        <v>17</v>
      </c>
      <c r="D8" s="3" t="str">
        <f>HYPERLINK("./3D_Level 1_to_Level 2/MJ 2_25/DT_MJ_8-MJ 2_25/viewer.html","Open Viewer")</f>
        <v>Open Viewer</v>
      </c>
      <c r="E8" s="3" t="str">
        <f>HYPERLINK("./3D_Level 1_to_Level 2/MJ 2_25/DT_MJ_8-MJ 2_25","Open Images")</f>
        <v>Open Images</v>
      </c>
      <c r="F8" s="3" t="str">
        <f>HYPERLINK("./3D_Level 1_to_Level 2/MJ 2_25/DT_MJ_8-MJ 2_25/DT_MJ_8-MJ 2_25.mp4","Clean Video")</f>
        <v>Clean Video</v>
      </c>
      <c r="G8" s="3" t="str">
        <f>HYPERLINK("./3D_Level 1_to_Level 2/MJ 2_25/DT_MJ_8-MJ 2_25/DT_MJ_8-MJ 2_25_M.mp4","Meta Video")</f>
        <v>Meta Video</v>
      </c>
      <c r="H8" s="3" t="str">
        <f>HYPERLINK("./3D_Level 1_to_Level 2/MJ 2_25/DT_MJ_8-MJ 2_25/DT_MJ_8-MJ 2_25_C.mp4","Comp Video")</f>
        <v>Comp Video</v>
      </c>
      <c r="I8" s="3" t="str">
        <f>HYPERLINK("./3D_Level 1_to_Level 2/MJ 2_25/DT_MJ_8-MJ 2_25/DT_MJ_8-MJ 2_25_CM.mp4","Meta Comp")</f>
        <v>Meta Comp</v>
      </c>
      <c r="J8" s="2"/>
    </row>
    <row r="9" spans="1:10" x14ac:dyDescent="0.25">
      <c r="A9" s="2" t="s">
        <v>9</v>
      </c>
      <c r="B9" s="2" t="s">
        <v>18</v>
      </c>
      <c r="C9" s="2" t="s">
        <v>19</v>
      </c>
      <c r="D9" s="3" t="str">
        <f>HYPERLINK("./3D_Level 1_to_Level 2/MJ 7_21/DT_MJ_31-MJ 7_21/viewer.html","Open Viewer")</f>
        <v>Open Viewer</v>
      </c>
      <c r="E9" s="3" t="str">
        <f>HYPERLINK("./3D_Level 1_to_Level 2/MJ 7_21/DT_MJ_31-MJ 7_21","Open Images")</f>
        <v>Open Images</v>
      </c>
      <c r="F9" s="3" t="str">
        <f>HYPERLINK("./3D_Level 1_to_Level 2/MJ 7_21/DT_MJ_31-MJ 7_21/DT_MJ_31-MJ 7_21.mp4","Clean Video")</f>
        <v>Clean Video</v>
      </c>
      <c r="G9" s="3" t="str">
        <f>HYPERLINK("./3D_Level 1_to_Level 2/MJ 7_21/DT_MJ_31-MJ 7_21/DT_MJ_31-MJ 7_21_M.mp4","Meta Video")</f>
        <v>Meta Video</v>
      </c>
      <c r="H9" s="3" t="str">
        <f>HYPERLINK("./3D_Level 1_to_Level 2/MJ 7_21/DT_MJ_31-MJ 7_21/DT_MJ_31-MJ 7_21_C.mp4","Comp Video")</f>
        <v>Comp Video</v>
      </c>
      <c r="I9" s="3" t="str">
        <f>HYPERLINK("./3D_Level 1_to_Level 2/MJ 7_21/DT_MJ_31-MJ 7_21/DT_MJ_31-MJ 7_21_CM.mp4","Meta Comp")</f>
        <v>Meta Comp</v>
      </c>
      <c r="J9" s="2"/>
    </row>
    <row r="10" spans="1:10" x14ac:dyDescent="0.25">
      <c r="A10" s="2" t="s">
        <v>9</v>
      </c>
      <c r="B10" s="2" t="s">
        <v>18</v>
      </c>
      <c r="C10" s="2" t="s">
        <v>20</v>
      </c>
      <c r="D10" s="3" t="str">
        <f>HYPERLINK("./3D_Level 1_to_Level 2/MJ 7_21/DT_MJ_32-MJ 7_21/viewer.html","Open Viewer")</f>
        <v>Open Viewer</v>
      </c>
      <c r="E10" s="3" t="str">
        <f>HYPERLINK("./3D_Level 1_to_Level 2/MJ 7_21/DT_MJ_32-MJ 7_21","Open Images")</f>
        <v>Open Images</v>
      </c>
      <c r="F10" s="3" t="str">
        <f>HYPERLINK("./3D_Level 1_to_Level 2/MJ 7_21/DT_MJ_32-MJ 7_21/DT_MJ_32-MJ 7_21.mp4","Clean Video")</f>
        <v>Clean Video</v>
      </c>
      <c r="G10" s="3" t="str">
        <f>HYPERLINK("./3D_Level 1_to_Level 2/MJ 7_21/DT_MJ_32-MJ 7_21/DT_MJ_32-MJ 7_21_M.mp4","Meta Video")</f>
        <v>Meta Video</v>
      </c>
      <c r="H10" s="3" t="str">
        <f>HYPERLINK("./3D_Level 1_to_Level 2/MJ 7_21/DT_MJ_32-MJ 7_21/DT_MJ_32-MJ 7_21_C.mp4","Comp Video")</f>
        <v>Comp Video</v>
      </c>
      <c r="I10" s="3" t="str">
        <f>HYPERLINK("./3D_Level 1_to_Level 2/MJ 7_21/DT_MJ_32-MJ 7_21/DT_MJ_32-MJ 7_21_CM.mp4","Meta Comp")</f>
        <v>Meta Comp</v>
      </c>
      <c r="J10" s="2"/>
    </row>
    <row r="11" spans="1:10" x14ac:dyDescent="0.25">
      <c r="A11" s="2" t="s">
        <v>9</v>
      </c>
      <c r="B11" s="2" t="s">
        <v>18</v>
      </c>
      <c r="C11" s="2" t="s">
        <v>21</v>
      </c>
      <c r="D11" s="3" t="str">
        <f>HYPERLINK("./3D_Level 1_to_Level 2/MJ 7_21/DT_MJ_33-MJ 7_21/viewer.html","Open Viewer")</f>
        <v>Open Viewer</v>
      </c>
      <c r="E11" s="3" t="str">
        <f>HYPERLINK("./3D_Level 1_to_Level 2/MJ 7_21/DT_MJ_33-MJ 7_21","Open Images")</f>
        <v>Open Images</v>
      </c>
      <c r="F11" s="3" t="str">
        <f>HYPERLINK("./3D_Level 1_to_Level 2/MJ 7_21/DT_MJ_33-MJ 7_21/DT_MJ_33-MJ 7_21.mp4","Clean Video")</f>
        <v>Clean Video</v>
      </c>
      <c r="G11" s="3" t="str">
        <f>HYPERLINK("./3D_Level 1_to_Level 2/MJ 7_21/DT_MJ_33-MJ 7_21/DT_MJ_33-MJ 7_21_M.mp4","Meta Video")</f>
        <v>Meta Video</v>
      </c>
      <c r="H11" s="3" t="str">
        <f>HYPERLINK("./3D_Level 1_to_Level 2/MJ 7_21/DT_MJ_33-MJ 7_21/DT_MJ_33-MJ 7_21_C.mp4","Comp Video")</f>
        <v>Comp Video</v>
      </c>
      <c r="I11" s="3" t="str">
        <f>HYPERLINK("./3D_Level 1_to_Level 2/MJ 7_21/DT_MJ_33-MJ 7_21/DT_MJ_33-MJ 7_21_CM.mp4","Meta Comp")</f>
        <v>Meta Comp</v>
      </c>
      <c r="J11" s="2"/>
    </row>
    <row r="12" spans="1:10" x14ac:dyDescent="0.25">
      <c r="A12" s="2" t="s">
        <v>9</v>
      </c>
      <c r="B12" s="2" t="s">
        <v>18</v>
      </c>
      <c r="C12" s="2" t="s">
        <v>22</v>
      </c>
      <c r="D12" s="3" t="str">
        <f>HYPERLINK("./3D_Level 1_to_Level 2/MJ 7_21/DT_MJ_34-MJ 7_21/viewer.html","Open Viewer")</f>
        <v>Open Viewer</v>
      </c>
      <c r="E12" s="3" t="str">
        <f>HYPERLINK("./3D_Level 1_to_Level 2/MJ 7_21/DT_MJ_34-MJ 7_21","Open Images")</f>
        <v>Open Images</v>
      </c>
      <c r="F12" s="3" t="str">
        <f>HYPERLINK("./3D_Level 1_to_Level 2/MJ 7_21/DT_MJ_34-MJ 7_21/DT_MJ_34-MJ 7_21.mp4","Clean Video")</f>
        <v>Clean Video</v>
      </c>
      <c r="G12" s="3" t="str">
        <f>HYPERLINK("./3D_Level 1_to_Level 2/MJ 7_21/DT_MJ_34-MJ 7_21/DT_MJ_34-MJ 7_21_M.mp4","Meta Video")</f>
        <v>Meta Video</v>
      </c>
      <c r="H12" s="3" t="str">
        <f>HYPERLINK("./3D_Level 1_to_Level 2/MJ 7_21/DT_MJ_34-MJ 7_21/DT_MJ_34-MJ 7_21_C.mp4","Comp Video")</f>
        <v>Comp Video</v>
      </c>
      <c r="I12" s="3" t="str">
        <f>HYPERLINK("./3D_Level 1_to_Level 2/MJ 7_21/DT_MJ_34-MJ 7_21/DT_MJ_34-MJ 7_21_CM.mp4","Meta Comp")</f>
        <v>Meta Comp</v>
      </c>
      <c r="J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Mayuri Jakhete</cp:lastModifiedBy>
  <dcterms:created xsi:type="dcterms:W3CDTF">2026-05-20T12:28:25Z</dcterms:created>
  <dcterms:modified xsi:type="dcterms:W3CDTF">2026-05-26T04:33:00Z</dcterms:modified>
</cp:coreProperties>
</file>